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257a0ca72629e1/Documents/"/>
    </mc:Choice>
  </mc:AlternateContent>
  <xr:revisionPtr revIDLastSave="0" documentId="8_{643BA6AA-6711-463E-A481-8F2FC1F68B5D}" xr6:coauthVersionLast="47" xr6:coauthVersionMax="47" xr10:uidLastSave="{00000000-0000-0000-0000-000000000000}"/>
  <bookViews>
    <workbookView xWindow="-108" yWindow="-108" windowWidth="23256" windowHeight="12456" xr2:uid="{E219F7E5-0BE0-4394-9FE7-41C9843D2122}"/>
  </bookViews>
  <sheets>
    <sheet name="Values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/>
  <c r="H4" i="2" s="1"/>
  <c r="J4" i="2"/>
  <c r="D5" i="2"/>
  <c r="F5" i="2"/>
  <c r="G5" i="2"/>
  <c r="D6" i="2"/>
  <c r="J5" i="2" s="1"/>
  <c r="F6" i="2"/>
  <c r="G6" i="2"/>
  <c r="D7" i="2"/>
  <c r="J6" i="2" s="1"/>
  <c r="F7" i="2"/>
  <c r="G7" i="2"/>
  <c r="D8" i="2"/>
  <c r="J7" i="2" s="1"/>
  <c r="F8" i="2"/>
  <c r="G8" i="2"/>
  <c r="D9" i="2"/>
  <c r="J8" i="2" s="1"/>
  <c r="F9" i="2"/>
  <c r="G9" i="2"/>
  <c r="J9" i="2"/>
  <c r="D10" i="2"/>
  <c r="F10" i="2"/>
  <c r="G10" i="2"/>
  <c r="D11" i="2"/>
  <c r="J10" i="2" s="1"/>
  <c r="F11" i="2"/>
  <c r="G11" i="2"/>
  <c r="L10" i="2" s="1"/>
  <c r="H11" i="2"/>
  <c r="K10" i="2" s="1"/>
  <c r="F22" i="2" s="1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L4" i="2" l="1"/>
  <c r="H5" i="2"/>
  <c r="K4" i="2" s="1"/>
  <c r="F16" i="2" s="1"/>
  <c r="L5" i="2"/>
  <c r="H6" i="2"/>
  <c r="K5" i="2" s="1"/>
  <c r="F17" i="2" s="1"/>
  <c r="L6" i="2"/>
  <c r="H7" i="2"/>
  <c r="K6" i="2" s="1"/>
  <c r="F18" i="2" s="1"/>
  <c r="L7" i="2"/>
  <c r="H8" i="2"/>
  <c r="K7" i="2" s="1"/>
  <c r="F19" i="2" s="1"/>
  <c r="H9" i="2"/>
  <c r="K8" i="2" s="1"/>
  <c r="F20" i="2" s="1"/>
  <c r="L8" i="2"/>
  <c r="L9" i="2"/>
  <c r="H10" i="2"/>
  <c r="K9" i="2" s="1"/>
  <c r="F21" i="2" s="1"/>
</calcChain>
</file>

<file path=xl/sharedStrings.xml><?xml version="1.0" encoding="utf-8"?>
<sst xmlns="http://schemas.openxmlformats.org/spreadsheetml/2006/main" count="22" uniqueCount="21">
  <si>
    <r>
      <t>*</t>
    </r>
    <r>
      <rPr>
        <i/>
        <sz val="11"/>
        <color theme="1"/>
        <rFont val="Calibri"/>
        <family val="2"/>
      </rPr>
      <t>Note the 2-month Lag for RPI swaps</t>
    </r>
  </si>
  <si>
    <t xml:space="preserve">Model </t>
  </si>
  <si>
    <t xml:space="preserve">Quoted </t>
  </si>
  <si>
    <t>Tenor</t>
  </si>
  <si>
    <t>Base RPI print I0</t>
  </si>
  <si>
    <r>
      <t>*</t>
    </r>
    <r>
      <rPr>
        <i/>
        <sz val="11"/>
        <color theme="1"/>
        <rFont val="Calibri"/>
        <family val="2"/>
      </rPr>
      <t xml:space="preserve">Checking by Calculating Breakeven Rates </t>
    </r>
  </si>
  <si>
    <t>Base month (reference)</t>
  </si>
  <si>
    <t>Quote K</t>
  </si>
  <si>
    <t>Tenor (y)</t>
  </si>
  <si>
    <t>Fwd. Rates</t>
  </si>
  <si>
    <t>Ratio of Indexes</t>
  </si>
  <si>
    <t>Interval</t>
  </si>
  <si>
    <t>Proj. Index</t>
  </si>
  <si>
    <t>(1+K)^T</t>
  </si>
  <si>
    <t>K</t>
  </si>
  <si>
    <t>Ref Month</t>
  </si>
  <si>
    <t>ZC swap quotes</t>
  </si>
  <si>
    <t>Forward Breakeven Rates</t>
  </si>
  <si>
    <t xml:space="preserve">Index Values </t>
  </si>
  <si>
    <t>Inputs:</t>
  </si>
  <si>
    <t>ZC Inflation Monthly Swap Pricer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</si>
</sst>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mmm\-yyyy"/>
    <numFmt numFmtId="166" formatCode="0.0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1"/>
    </font>
    <font>
      <b/>
      <sz val="11"/>
      <name val="Calibri"/>
      <family val="2"/>
    </font>
    <font>
      <b/>
      <sz val="22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3366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0" xfId="1"/>
    <xf numFmtId="164" fontId="1" fillId="0" borderId="0" xfId="1" applyNumberFormat="1"/>
    <xf numFmtId="164" fontId="1" fillId="2" borderId="1" xfId="1" applyNumberFormat="1" applyFill="1" applyBorder="1"/>
    <xf numFmtId="164" fontId="1" fillId="0" borderId="2" xfId="1" applyNumberFormat="1" applyBorder="1"/>
    <xf numFmtId="0" fontId="1" fillId="0" borderId="3" xfId="1" applyBorder="1"/>
    <xf numFmtId="164" fontId="1" fillId="2" borderId="4" xfId="1" applyNumberFormat="1" applyFill="1" applyBorder="1"/>
    <xf numFmtId="0" fontId="1" fillId="0" borderId="5" xfId="1" applyBorder="1"/>
    <xf numFmtId="0" fontId="2" fillId="3" borderId="0" xfId="1" applyFont="1" applyFill="1" applyAlignment="1">
      <alignment horizontal="center"/>
    </xf>
    <xf numFmtId="164" fontId="1" fillId="2" borderId="6" xfId="1" applyNumberFormat="1" applyFill="1" applyBorder="1"/>
    <xf numFmtId="164" fontId="1" fillId="0" borderId="7" xfId="1" applyNumberFormat="1" applyBorder="1"/>
    <xf numFmtId="0" fontId="1" fillId="0" borderId="8" xfId="1" applyBorder="1"/>
    <xf numFmtId="0" fontId="4" fillId="4" borderId="0" xfId="1" applyFont="1" applyFill="1"/>
    <xf numFmtId="165" fontId="5" fillId="5" borderId="5" xfId="1" applyNumberFormat="1" applyFont="1" applyFill="1" applyBorder="1"/>
    <xf numFmtId="2" fontId="6" fillId="6" borderId="1" xfId="1" applyNumberFormat="1" applyFont="1" applyFill="1" applyBorder="1"/>
    <xf numFmtId="0" fontId="7" fillId="0" borderId="3" xfId="1" applyFont="1" applyBorder="1"/>
    <xf numFmtId="165" fontId="6" fillId="6" borderId="4" xfId="1" applyNumberFormat="1" applyFont="1" applyFill="1" applyBorder="1"/>
    <xf numFmtId="0" fontId="7" fillId="0" borderId="5" xfId="1" applyFont="1" applyBorder="1"/>
    <xf numFmtId="0" fontId="1" fillId="0" borderId="4" xfId="1" applyBorder="1"/>
    <xf numFmtId="2" fontId="1" fillId="2" borderId="1" xfId="1" applyNumberFormat="1" applyFill="1" applyBorder="1"/>
    <xf numFmtId="166" fontId="1" fillId="0" borderId="2" xfId="1" applyNumberFormat="1" applyBorder="1"/>
    <xf numFmtId="17" fontId="1" fillId="0" borderId="2" xfId="1" applyNumberFormat="1" applyBorder="1"/>
    <xf numFmtId="2" fontId="8" fillId="7" borderId="3" xfId="1" applyNumberFormat="1" applyFont="1" applyFill="1" applyBorder="1"/>
    <xf numFmtId="164" fontId="6" fillId="6" borderId="4" xfId="1" applyNumberFormat="1" applyFont="1" applyFill="1" applyBorder="1" applyAlignment="1">
      <alignment horizontal="center"/>
    </xf>
    <xf numFmtId="0" fontId="6" fillId="0" borderId="5" xfId="1" applyFont="1" applyBorder="1" applyAlignment="1">
      <alignment horizontal="center"/>
    </xf>
    <xf numFmtId="2" fontId="1" fillId="0" borderId="3" xfId="1" applyNumberFormat="1" applyBorder="1" applyAlignment="1">
      <alignment horizontal="left"/>
    </xf>
    <xf numFmtId="2" fontId="1" fillId="2" borderId="4" xfId="1" applyNumberFormat="1" applyFill="1" applyBorder="1"/>
    <xf numFmtId="166" fontId="1" fillId="0" borderId="0" xfId="1" applyNumberFormat="1"/>
    <xf numFmtId="17" fontId="1" fillId="0" borderId="0" xfId="1" applyNumberFormat="1"/>
    <xf numFmtId="2" fontId="8" fillId="7" borderId="5" xfId="1" applyNumberFormat="1" applyFont="1" applyFill="1" applyBorder="1"/>
    <xf numFmtId="2" fontId="1" fillId="0" borderId="5" xfId="1" applyNumberFormat="1" applyBorder="1" applyAlignment="1">
      <alignment horizontal="left"/>
    </xf>
    <xf numFmtId="0" fontId="1" fillId="0" borderId="7" xfId="1" applyBorder="1"/>
    <xf numFmtId="17" fontId="1" fillId="0" borderId="7" xfId="1" applyNumberFormat="1" applyBorder="1"/>
    <xf numFmtId="0" fontId="7" fillId="3" borderId="0" xfId="1" applyFont="1" applyFill="1"/>
    <xf numFmtId="0" fontId="4" fillId="4" borderId="4" xfId="1" applyFont="1" applyFill="1" applyBorder="1"/>
    <xf numFmtId="0" fontId="9" fillId="4" borderId="5" xfId="1" applyFont="1" applyFill="1" applyBorder="1"/>
    <xf numFmtId="0" fontId="9" fillId="4" borderId="4" xfId="1" applyFont="1" applyFill="1" applyBorder="1"/>
    <xf numFmtId="0" fontId="9" fillId="4" borderId="0" xfId="1" applyFont="1" applyFill="1"/>
    <xf numFmtId="0" fontId="10" fillId="9" borderId="6" xfId="1" applyFont="1" applyFill="1" applyBorder="1" applyAlignment="1">
      <alignment horizontal="center"/>
    </xf>
    <xf numFmtId="0" fontId="10" fillId="9" borderId="7" xfId="1" applyFont="1" applyFill="1" applyBorder="1" applyAlignment="1">
      <alignment horizontal="center"/>
    </xf>
    <xf numFmtId="0" fontId="10" fillId="9" borderId="8" xfId="1" applyFont="1" applyFill="1" applyBorder="1" applyAlignment="1">
      <alignment horizontal="center"/>
    </xf>
    <xf numFmtId="0" fontId="2" fillId="9" borderId="6" xfId="1" applyFont="1" applyFill="1" applyBorder="1" applyAlignment="1">
      <alignment horizontal="center"/>
    </xf>
    <xf numFmtId="0" fontId="2" fillId="9" borderId="7" xfId="1" applyFont="1" applyFill="1" applyBorder="1" applyAlignment="1">
      <alignment horizontal="center"/>
    </xf>
    <xf numFmtId="0" fontId="2" fillId="9" borderId="8" xfId="1" applyFont="1" applyFill="1" applyBorder="1" applyAlignment="1">
      <alignment horizontal="center"/>
    </xf>
    <xf numFmtId="0" fontId="7" fillId="10" borderId="6" xfId="1" applyFont="1" applyFill="1" applyBorder="1" applyAlignment="1">
      <alignment horizontal="center"/>
    </xf>
    <xf numFmtId="0" fontId="7" fillId="10" borderId="8" xfId="1" applyFont="1" applyFill="1" applyBorder="1" applyAlignment="1">
      <alignment horizontal="center"/>
    </xf>
    <xf numFmtId="0" fontId="11" fillId="4" borderId="0" xfId="1" applyFont="1" applyFill="1" applyAlignment="1">
      <alignment horizontal="left" vertical="center"/>
    </xf>
    <xf numFmtId="0" fontId="5" fillId="8" borderId="5" xfId="1" applyFont="1" applyFill="1" applyBorder="1" applyAlignment="1">
      <alignment horizontal="center"/>
    </xf>
    <xf numFmtId="0" fontId="5" fillId="8" borderId="4" xfId="1" applyFont="1" applyFill="1" applyBorder="1" applyAlignment="1">
      <alignment horizontal="center"/>
    </xf>
  </cellXfs>
  <cellStyles count="2">
    <cellStyle name="Normal" xfId="0" builtinId="0"/>
    <cellStyle name="Normal 2" xfId="1" xr:uid="{1A56E236-F0DE-4FF5-BB65-A4B3E8882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0F89-FCD0-45DE-822E-0BC6BA3EECC1}">
  <dimension ref="A1:L23"/>
  <sheetViews>
    <sheetView showGridLines="0" tabSelected="1" zoomScale="91" zoomScaleNormal="145" workbookViewId="0">
      <selection activeCell="G17" sqref="G17"/>
    </sheetView>
  </sheetViews>
  <sheetFormatPr defaultRowHeight="14.4" x14ac:dyDescent="0.3"/>
  <cols>
    <col min="1" max="1" width="21.5546875" style="1" customWidth="1"/>
    <col min="2" max="2" width="13.33203125" style="1" customWidth="1"/>
    <col min="3" max="4" width="8.88671875" style="1"/>
    <col min="5" max="5" width="10.44140625" style="1" customWidth="1"/>
    <col min="6" max="6" width="8.88671875" style="1"/>
    <col min="7" max="7" width="11.44140625" style="1" customWidth="1"/>
    <col min="8" max="8" width="11.21875" style="1" customWidth="1"/>
    <col min="9" max="9" width="8.88671875" style="1"/>
    <col min="10" max="10" width="10.88671875" style="1" customWidth="1"/>
    <col min="11" max="11" width="17.77734375" style="1" customWidth="1"/>
    <col min="12" max="12" width="11.33203125" style="1" customWidth="1"/>
    <col min="13" max="16384" width="8.88671875" style="1"/>
  </cols>
  <sheetData>
    <row r="1" spans="1:12" s="46" customFormat="1" ht="37.799999999999997" customHeight="1" x14ac:dyDescent="0.3">
      <c r="A1" s="46" t="s">
        <v>20</v>
      </c>
    </row>
    <row r="2" spans="1:12" x14ac:dyDescent="0.3">
      <c r="A2" s="45" t="s">
        <v>19</v>
      </c>
      <c r="B2" s="44"/>
      <c r="D2" s="43" t="s">
        <v>18</v>
      </c>
      <c r="E2" s="42"/>
      <c r="F2" s="42"/>
      <c r="G2" s="42"/>
      <c r="H2" s="41"/>
      <c r="J2" s="40" t="s">
        <v>17</v>
      </c>
      <c r="K2" s="39"/>
      <c r="L2" s="38"/>
    </row>
    <row r="3" spans="1:12" x14ac:dyDescent="0.3">
      <c r="A3" s="17" t="s">
        <v>16</v>
      </c>
      <c r="B3" s="18"/>
      <c r="C3" s="33"/>
      <c r="D3" s="13" t="s">
        <v>3</v>
      </c>
      <c r="E3" s="37" t="s">
        <v>15</v>
      </c>
      <c r="F3" s="37" t="s">
        <v>14</v>
      </c>
      <c r="G3" s="37" t="s">
        <v>13</v>
      </c>
      <c r="H3" s="36" t="s">
        <v>12</v>
      </c>
      <c r="J3" s="35" t="s">
        <v>11</v>
      </c>
      <c r="K3" s="12" t="s">
        <v>10</v>
      </c>
      <c r="L3" s="34" t="s">
        <v>9</v>
      </c>
    </row>
    <row r="4" spans="1:12" x14ac:dyDescent="0.3">
      <c r="A4" s="47" t="s">
        <v>8</v>
      </c>
      <c r="B4" s="48" t="s">
        <v>7</v>
      </c>
      <c r="C4" s="33"/>
      <c r="D4" s="11">
        <v>0</v>
      </c>
      <c r="E4" s="32">
        <v>46113</v>
      </c>
      <c r="F4" s="31"/>
      <c r="G4" s="27">
        <f>(1+F4)^D4</f>
        <v>1</v>
      </c>
      <c r="H4" s="26">
        <f>$B$15*G4</f>
        <v>414.4</v>
      </c>
      <c r="J4" s="30" t="str">
        <f>D4&amp;"y -&gt; "&amp;D5&amp;"y"</f>
        <v>0y -&gt; 1y</v>
      </c>
      <c r="K4" s="27">
        <f>H5/$B$15</f>
        <v>1.0367</v>
      </c>
      <c r="L4" s="6">
        <f>(G5/G4)^(1/(D5-D4)) - 1</f>
        <v>3.6699999999999955E-2</v>
      </c>
    </row>
    <row r="5" spans="1:12" x14ac:dyDescent="0.3">
      <c r="A5" s="24">
        <v>1</v>
      </c>
      <c r="B5" s="23">
        <v>3.6700000000000003E-2</v>
      </c>
      <c r="D5" s="29">
        <f>A5</f>
        <v>1</v>
      </c>
      <c r="E5" s="28">
        <v>46478</v>
      </c>
      <c r="F5" s="2">
        <f>B5</f>
        <v>3.6700000000000003E-2</v>
      </c>
      <c r="G5" s="27">
        <f>(1+F5)^D5</f>
        <v>1.0367</v>
      </c>
      <c r="H5" s="26">
        <f>$B$15*G5</f>
        <v>429.60847999999999</v>
      </c>
      <c r="J5" s="30" t="str">
        <f>D5&amp;"y -&gt; "&amp;D6&amp;"y"</f>
        <v>1y -&gt; 2y</v>
      </c>
      <c r="K5" s="27">
        <f>H6/$B$15</f>
        <v>1.0728194929000001</v>
      </c>
      <c r="L5" s="6">
        <f>(G6/G5)^(1/(D6-D5)) - 1</f>
        <v>3.4840834281856026E-2</v>
      </c>
    </row>
    <row r="6" spans="1:12" x14ac:dyDescent="0.3">
      <c r="A6" s="24">
        <v>2</v>
      </c>
      <c r="B6" s="23">
        <v>3.5770000000000003E-2</v>
      </c>
      <c r="D6" s="29">
        <f>A6</f>
        <v>2</v>
      </c>
      <c r="E6" s="28">
        <v>46844</v>
      </c>
      <c r="F6" s="2">
        <f>B6</f>
        <v>3.5770000000000003E-2</v>
      </c>
      <c r="G6" s="27">
        <f>(1+F6)^D6</f>
        <v>1.0728194929000001</v>
      </c>
      <c r="H6" s="26">
        <f>$B$15*G6</f>
        <v>444.57639785776001</v>
      </c>
      <c r="J6" s="30" t="str">
        <f>D6&amp;"y -&gt; "&amp;D7&amp;"y"</f>
        <v>2y -&gt; 3y</v>
      </c>
      <c r="K6" s="27">
        <f>H7/$B$15</f>
        <v>1.1083644083191693</v>
      </c>
      <c r="L6" s="6">
        <f>(G7/G6)^(1/(D7-D6)) - 1</f>
        <v>3.3132242333783202E-2</v>
      </c>
    </row>
    <row r="7" spans="1:12" x14ac:dyDescent="0.3">
      <c r="A7" s="24">
        <v>3</v>
      </c>
      <c r="B7" s="23">
        <v>3.4889999999999997E-2</v>
      </c>
      <c r="D7" s="29">
        <f>A7</f>
        <v>3</v>
      </c>
      <c r="E7" s="28">
        <v>47209</v>
      </c>
      <c r="F7" s="2">
        <f>B7</f>
        <v>3.4889999999999997E-2</v>
      </c>
      <c r="G7" s="27">
        <f>(1+F7)^D7</f>
        <v>1.1083644083191693</v>
      </c>
      <c r="H7" s="26">
        <f>$B$15*G7</f>
        <v>459.30621080746374</v>
      </c>
      <c r="J7" s="30" t="str">
        <f>D7&amp;"y -&gt; "&amp;D8&amp;"y"</f>
        <v>3y -&gt; 4y</v>
      </c>
      <c r="K7" s="27">
        <f>H8/$B$15</f>
        <v>1.1440234614083435</v>
      </c>
      <c r="L7" s="6">
        <f>(G8/G7)^(1/(D8-D7)) - 1</f>
        <v>3.2172679690473993E-2</v>
      </c>
    </row>
    <row r="8" spans="1:12" x14ac:dyDescent="0.3">
      <c r="A8" s="24">
        <v>4</v>
      </c>
      <c r="B8" s="23">
        <v>3.4209999999999997E-2</v>
      </c>
      <c r="D8" s="29">
        <f>A8</f>
        <v>4</v>
      </c>
      <c r="E8" s="28">
        <v>47574</v>
      </c>
      <c r="F8" s="2">
        <f>B8</f>
        <v>3.4209999999999997E-2</v>
      </c>
      <c r="G8" s="27">
        <f>(1+F8)^D8</f>
        <v>1.1440234614083435</v>
      </c>
      <c r="H8" s="26">
        <f>$B$15*G8</f>
        <v>474.08332240761752</v>
      </c>
      <c r="J8" s="30" t="str">
        <f>D8&amp;"y -&gt; "&amp;D9&amp;"y"</f>
        <v>4y -&gt; 5y</v>
      </c>
      <c r="K8" s="27">
        <f>H9/$B$15</f>
        <v>1.1762553387403925</v>
      </c>
      <c r="L8" s="6">
        <f>(G9/G8)^(1/(D9-D8)) - 1</f>
        <v>2.8174140146015825E-2</v>
      </c>
    </row>
    <row r="9" spans="1:12" x14ac:dyDescent="0.3">
      <c r="A9" s="24">
        <v>5</v>
      </c>
      <c r="B9" s="23">
        <v>3.3000000000000002E-2</v>
      </c>
      <c r="D9" s="29">
        <f>A9</f>
        <v>5</v>
      </c>
      <c r="E9" s="28">
        <v>47939</v>
      </c>
      <c r="F9" s="2">
        <f>B9</f>
        <v>3.3000000000000002E-2</v>
      </c>
      <c r="G9" s="27">
        <f>(1+F9)^D9</f>
        <v>1.1762553387403925</v>
      </c>
      <c r="H9" s="26">
        <f>$B$15*G9</f>
        <v>487.44021237401859</v>
      </c>
      <c r="J9" s="30" t="str">
        <f>D9&amp;"y -&gt; "&amp;D10&amp;"y"</f>
        <v>5y -&gt; 7y</v>
      </c>
      <c r="K9" s="27">
        <f>H10/$B$15</f>
        <v>1.2453359264450974</v>
      </c>
      <c r="L9" s="6">
        <f>(G10/G9)^(1/(D10-D9)) - 1</f>
        <v>2.8945695735800969E-2</v>
      </c>
    </row>
    <row r="10" spans="1:12" x14ac:dyDescent="0.3">
      <c r="A10" s="24">
        <v>7</v>
      </c>
      <c r="B10" s="23">
        <v>3.184E-2</v>
      </c>
      <c r="D10" s="29">
        <f>A10</f>
        <v>7</v>
      </c>
      <c r="E10" s="28">
        <v>48670</v>
      </c>
      <c r="F10" s="2">
        <f>B10</f>
        <v>3.184E-2</v>
      </c>
      <c r="G10" s="27">
        <f>(1+F10)^D10</f>
        <v>1.2453359264450974</v>
      </c>
      <c r="H10" s="26">
        <f>$B$15*G10</f>
        <v>516.06720791884834</v>
      </c>
      <c r="J10" s="25" t="str">
        <f>D10&amp;"y -&gt; "&amp;D11&amp;"y"</f>
        <v>7y -&gt; 10y</v>
      </c>
      <c r="K10" s="20">
        <f>H11/$B$15</f>
        <v>1.362295338976635</v>
      </c>
      <c r="L10" s="3">
        <f>(G11/G10)^(1/(D11-D10)) - 1</f>
        <v>3.0374062851674877E-2</v>
      </c>
    </row>
    <row r="11" spans="1:12" x14ac:dyDescent="0.3">
      <c r="A11" s="24">
        <v>10</v>
      </c>
      <c r="B11" s="23">
        <v>3.1399999999999997E-2</v>
      </c>
      <c r="D11" s="22">
        <f>A11</f>
        <v>10</v>
      </c>
      <c r="E11" s="21">
        <v>49766</v>
      </c>
      <c r="F11" s="4">
        <f>B11</f>
        <v>3.1399999999999997E-2</v>
      </c>
      <c r="G11" s="20">
        <f>(1+F11)^D11</f>
        <v>1.362295338976635</v>
      </c>
      <c r="H11" s="19">
        <f>$B$15*G11</f>
        <v>564.53518847191754</v>
      </c>
    </row>
    <row r="12" spans="1:12" x14ac:dyDescent="0.3">
      <c r="A12" s="7"/>
      <c r="B12" s="18"/>
    </row>
    <row r="13" spans="1:12" x14ac:dyDescent="0.3">
      <c r="A13" s="7"/>
      <c r="B13" s="18"/>
    </row>
    <row r="14" spans="1:12" x14ac:dyDescent="0.3">
      <c r="A14" s="17" t="s">
        <v>6</v>
      </c>
      <c r="B14" s="16">
        <v>46113</v>
      </c>
      <c r="D14" s="1" t="s">
        <v>5</v>
      </c>
    </row>
    <row r="15" spans="1:12" x14ac:dyDescent="0.3">
      <c r="A15" s="15" t="s">
        <v>4</v>
      </c>
      <c r="B15" s="14">
        <v>414.4</v>
      </c>
      <c r="D15" s="13" t="s">
        <v>3</v>
      </c>
      <c r="E15" s="12" t="s">
        <v>2</v>
      </c>
      <c r="F15" s="12" t="s">
        <v>1</v>
      </c>
    </row>
    <row r="16" spans="1:12" x14ac:dyDescent="0.3">
      <c r="A16" s="1" t="s">
        <v>0</v>
      </c>
      <c r="D16" s="11">
        <f>A5</f>
        <v>1</v>
      </c>
      <c r="E16" s="10">
        <f>B5</f>
        <v>3.6700000000000003E-2</v>
      </c>
      <c r="F16" s="9">
        <f>(K4)^(1/D16) - 1</f>
        <v>3.6699999999999955E-2</v>
      </c>
    </row>
    <row r="17" spans="1:6" x14ac:dyDescent="0.3">
      <c r="A17" s="8"/>
      <c r="D17" s="7">
        <f>A6</f>
        <v>2</v>
      </c>
      <c r="E17" s="2">
        <f>B6</f>
        <v>3.5770000000000003E-2</v>
      </c>
      <c r="F17" s="6">
        <f>(K5)^(1/D17) - 1</f>
        <v>3.577000000000008E-2</v>
      </c>
    </row>
    <row r="18" spans="1:6" x14ac:dyDescent="0.3">
      <c r="D18" s="7">
        <f>A7</f>
        <v>3</v>
      </c>
      <c r="E18" s="2">
        <f>B7</f>
        <v>3.4889999999999997E-2</v>
      </c>
      <c r="F18" s="6">
        <f>(K6)^(1/D18) - 1</f>
        <v>3.4890000000000088E-2</v>
      </c>
    </row>
    <row r="19" spans="1:6" x14ac:dyDescent="0.3">
      <c r="D19" s="7">
        <f>A8</f>
        <v>4</v>
      </c>
      <c r="E19" s="2">
        <f>B8</f>
        <v>3.4209999999999997E-2</v>
      </c>
      <c r="F19" s="6">
        <f>(K7)^(1/D19) - 1</f>
        <v>3.4210000000000074E-2</v>
      </c>
    </row>
    <row r="20" spans="1:6" x14ac:dyDescent="0.3">
      <c r="D20" s="7">
        <f>A9</f>
        <v>5</v>
      </c>
      <c r="E20" s="2">
        <f>B9</f>
        <v>3.3000000000000002E-2</v>
      </c>
      <c r="F20" s="6">
        <f>(K8)^(1/D20) - 1</f>
        <v>3.2999999999999918E-2</v>
      </c>
    </row>
    <row r="21" spans="1:6" x14ac:dyDescent="0.3">
      <c r="D21" s="7">
        <f>A10</f>
        <v>7</v>
      </c>
      <c r="E21" s="2">
        <f>B10</f>
        <v>3.184E-2</v>
      </c>
      <c r="F21" s="6">
        <f>(K9)^(1/D21) - 1</f>
        <v>3.184000000000009E-2</v>
      </c>
    </row>
    <row r="22" spans="1:6" x14ac:dyDescent="0.3">
      <c r="D22" s="5">
        <f>A11</f>
        <v>10</v>
      </c>
      <c r="E22" s="4">
        <f>B11</f>
        <v>3.1399999999999997E-2</v>
      </c>
      <c r="F22" s="3">
        <f>(K10)^(1/D22) - 1</f>
        <v>3.1400000000000095E-2</v>
      </c>
    </row>
    <row r="23" spans="1:6" x14ac:dyDescent="0.3">
      <c r="E23" s="2"/>
    </row>
  </sheetData>
  <mergeCells count="4">
    <mergeCell ref="A1:XFD1"/>
    <mergeCell ref="A2:B2"/>
    <mergeCell ref="D2:H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Campbell</dc:creator>
  <cp:lastModifiedBy>Alexander Campbell</cp:lastModifiedBy>
  <dcterms:created xsi:type="dcterms:W3CDTF">2026-07-12T18:22:33Z</dcterms:created>
  <dcterms:modified xsi:type="dcterms:W3CDTF">2026-07-12T18:23:57Z</dcterms:modified>
</cp:coreProperties>
</file>